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030" codeName="{1563B04E-AB91-75FE-B8BC-B18F01832D57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Users\AES\Dropbox\Compartilhamentos Canal\62-busca-cnpj\"/>
    </mc:Choice>
  </mc:AlternateContent>
  <bookViews>
    <workbookView xWindow="120" yWindow="120" windowWidth="24915" windowHeight="12075"/>
  </bookViews>
  <sheets>
    <sheet name="Cadastro" sheetId="2" r:id="rId1"/>
    <sheet name="Importação" sheetId="1" r:id="rId2"/>
  </sheets>
  <functionGroups builtInGroupCount="18"/>
  <calcPr calcId="171027"/>
</workbook>
</file>

<file path=xl/calcChain.xml><?xml version="1.0" encoding="utf-8"?>
<calcChain xmlns="http://schemas.openxmlformats.org/spreadsheetml/2006/main">
  <c r="A24" i="1" l="1"/>
  <c r="A23" i="1"/>
  <c r="A21" i="1"/>
  <c r="A20" i="1"/>
  <c r="A19" i="1"/>
  <c r="A17" i="1"/>
  <c r="A18" i="1"/>
  <c r="A16" i="1" l="1"/>
  <c r="A15" i="1"/>
  <c r="A25" i="1"/>
  <c r="A22" i="1"/>
</calcChain>
</file>

<file path=xl/sharedStrings.xml><?xml version="1.0" encoding="utf-8"?>
<sst xmlns="http://schemas.openxmlformats.org/spreadsheetml/2006/main" count="43" uniqueCount="38">
  <si>
    <t xml:space="preserve">  </t>
  </si>
  <si>
    <t xml:space="preserve">ID </t>
  </si>
  <si>
    <t>Data Cadastro</t>
  </si>
  <si>
    <t>Nome Empresa</t>
  </si>
  <si>
    <t>Atividade</t>
  </si>
  <si>
    <t>Endereço</t>
  </si>
  <si>
    <t>Número</t>
  </si>
  <si>
    <t>Complemento</t>
  </si>
  <si>
    <t>CEP</t>
  </si>
  <si>
    <t>Bairro</t>
  </si>
  <si>
    <t>Cidade</t>
  </si>
  <si>
    <t>Estado</t>
  </si>
  <si>
    <t>CNPJ</t>
  </si>
  <si>
    <t>Data Abertura</t>
  </si>
  <si>
    <t>33.000.167/0001-01</t>
  </si>
  <si>
    <t xml:space="preserve">RJ  </t>
  </si>
  <si>
    <t xml:space="preserve">PETROLEO BRASILEIRO S A PETROBRAS  </t>
  </si>
  <si>
    <t xml:space="preserve">19.21-7-00 - Fabricação de produtos do refino de petróleo   </t>
  </si>
  <si>
    <t xml:space="preserve">AV REPUBLICA DO CHILE  </t>
  </si>
  <si>
    <t xml:space="preserve">20.031-170   </t>
  </si>
  <si>
    <t xml:space="preserve">CENTRO  </t>
  </si>
  <si>
    <t xml:space="preserve">RIO DE JANEIRO  </t>
  </si>
  <si>
    <t>30/08/2014</t>
  </si>
  <si>
    <t>33.592.510/0001-54</t>
  </si>
  <si>
    <t xml:space="preserve"> NOME EMPRESARIAL  _x000D_
VALE S.A.  </t>
  </si>
  <si>
    <t xml:space="preserve"> CÓDIGO E DESCRIÇÃO DA ATIVIDADE ECONÔMICA PRINCIPAL  _x000D_
	07.10-3-01 - Extração de minério de ferro   </t>
  </si>
  <si>
    <t xml:space="preserve"> LOGRADOURO  _x000D_
	AV GRACA ARANHA  </t>
  </si>
  <si>
    <t xml:space="preserve"> NÚMERO  _x000D_
26  </t>
  </si>
  <si>
    <t xml:space="preserve"> COMPLEMENTO  _x000D_
ED BARAO DE MAUA   </t>
  </si>
  <si>
    <t xml:space="preserve"> CEP  _x000D_
	20.030-001   </t>
  </si>
  <si>
    <t xml:space="preserve"> BAIRRO/DISTRITO  _x000D_
CENTRO  </t>
  </si>
  <si>
    <t xml:space="preserve"> MUNICÍPIO  _x000D_
RIO DE JANEIRO  </t>
  </si>
  <si>
    <t xml:space="preserve">VALE S.A.  </t>
  </si>
  <si>
    <t xml:space="preserve">07.10-3-01 - Extração de minério de ferro   </t>
  </si>
  <si>
    <t xml:space="preserve">AV GRACA ARANHA  </t>
  </si>
  <si>
    <t xml:space="preserve">ED BARAO DE MAUA   </t>
  </si>
  <si>
    <t xml:space="preserve">20.030-001   </t>
  </si>
  <si>
    <t>21/02/2015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</si>
</sst>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6" tint="0.39997558519241921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Alignment="1"/>
    <xf numFmtId="17" fontId="0" fillId="0" borderId="0" xfId="0" applyNumberFormat="1" applyAlignment="1"/>
    <xf numFmtId="0" fontId="0" fillId="2" borderId="0" xfId="0" applyFill="1" applyAlignment="1"/>
    <xf numFmtId="14" fontId="0" fillId="0" borderId="0" xfId="0" applyNumberFormat="1" applyAlignment="1">
      <alignment horizontal="left"/>
    </xf>
    <xf numFmtId="0" fontId="1" fillId="3" borderId="1" xfId="0" applyFont="1" applyFill="1" applyBorder="1" applyAlignment="1">
      <alignment horizontal="center"/>
    </xf>
    <xf numFmtId="1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</xdr:colOff>
          <xdr:row>0</xdr:row>
          <xdr:rowOff>57150</xdr:rowOff>
        </xdr:from>
        <xdr:to>
          <xdr:col>2</xdr:col>
          <xdr:colOff>866775</xdr:colOff>
          <xdr:row>0</xdr:row>
          <xdr:rowOff>400050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Importar Dados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1.xml"/><Relationship Id="rId4" Type="http://schemas.openxmlformats.org/officeDocument/2006/relationships/image" Target="../media/image1.jpeg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"/>
  <dimension ref="A1:M3"/>
  <sheetViews>
    <sheetView showGridLines="0" tabSelected="1" workbookViewId="0">
      <selection activeCell="B2" sqref="B2"/>
    </sheetView>
  </sheetViews>
  <sheetFormatPr defaultRowHeight="15" x14ac:dyDescent="0.25"/>
  <cols>
    <col min="1" max="1" width="4.42578125" style="7" customWidth="1"/>
    <col min="2" max="2" width="18" bestFit="1" customWidth="1"/>
    <col min="3" max="3" width="13.42578125" style="7" bestFit="1" customWidth="1"/>
    <col min="4" max="4" width="41" customWidth="1"/>
    <col min="5" max="5" width="39.140625" customWidth="1"/>
    <col min="6" max="6" width="21.5703125" customWidth="1"/>
    <col min="7" max="7" width="11" style="7" customWidth="1"/>
    <col min="8" max="8" width="14.5703125" style="7" customWidth="1"/>
    <col min="9" max="9" width="13.140625" style="7" customWidth="1"/>
    <col min="10" max="10" width="16.28515625" customWidth="1"/>
    <col min="11" max="11" width="16.140625" customWidth="1"/>
    <col min="12" max="12" width="7.42578125" style="7" customWidth="1"/>
    <col min="13" max="13" width="15.5703125" style="7" customWidth="1"/>
  </cols>
  <sheetData>
    <row r="1" spans="1:13" ht="51.75" customHeight="1" x14ac:dyDescent="0.25">
      <c r="A1" s="5" t="s">
        <v>1</v>
      </c>
      <c r="B1" s="5" t="s">
        <v>12</v>
      </c>
      <c r="C1" s="5" t="s">
        <v>13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  <c r="J1" s="5" t="s">
        <v>9</v>
      </c>
      <c r="K1" s="5" t="s">
        <v>10</v>
      </c>
      <c r="L1" s="5" t="s">
        <v>11</v>
      </c>
      <c r="M1" s="5" t="s">
        <v>2</v>
      </c>
    </row>
    <row r="2" spans="1:13" x14ac:dyDescent="0.25">
      <c r="A2" s="7">
        <v>1</v>
      </c>
      <c r="B2" t="s">
        <v>14</v>
      </c>
      <c r="C2" s="6">
        <v>24378</v>
      </c>
      <c r="D2" t="s">
        <v>16</v>
      </c>
      <c r="E2" t="s">
        <v>17</v>
      </c>
      <c r="F2" t="s">
        <v>18</v>
      </c>
      <c r="G2" s="7">
        <v>65</v>
      </c>
      <c r="H2" s="7" t="s">
        <v>0</v>
      </c>
      <c r="I2" s="7" t="s">
        <v>19</v>
      </c>
      <c r="J2" t="s">
        <v>20</v>
      </c>
      <c r="K2" t="s">
        <v>21</v>
      </c>
      <c r="L2" s="7" t="s">
        <v>15</v>
      </c>
      <c r="M2" s="7" t="s">
        <v>22</v>
      </c>
    </row>
    <row r="3" spans="1:13" ht="15" customHeight="1" x14ac:dyDescent="0.25">
      <c r="A3" s="7">
        <v>2</v>
      </c>
      <c r="B3" t="s">
        <v>23</v>
      </c>
      <c r="C3" s="6">
        <v>25509</v>
      </c>
      <c r="D3" t="s">
        <v>32</v>
      </c>
      <c r="E3" t="s">
        <v>33</v>
      </c>
      <c r="F3" t="s">
        <v>34</v>
      </c>
      <c r="G3" s="7">
        <v>26</v>
      </c>
      <c r="H3" s="7" t="s">
        <v>35</v>
      </c>
      <c r="I3" s="7" t="s">
        <v>36</v>
      </c>
      <c r="J3" s="8" t="s">
        <v>20</v>
      </c>
      <c r="K3" t="s">
        <v>21</v>
      </c>
      <c r="L3" s="7" t="s">
        <v>15</v>
      </c>
      <c r="M3" s="7" t="s">
        <v>37</v>
      </c>
    </row>
  </sheetData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picture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abre">
                <anchor moveWithCells="1" sizeWithCells="1">
                  <from>
                    <xdr:col>0</xdr:col>
                    <xdr:colOff>123825</xdr:colOff>
                    <xdr:row>0</xdr:row>
                    <xdr:rowOff>57150</xdr:rowOff>
                  </from>
                  <to>
                    <xdr:col>2</xdr:col>
                    <xdr:colOff>866775</xdr:colOff>
                    <xdr:row>0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A25"/>
  <sheetViews>
    <sheetView topLeftCell="A4" workbookViewId="0">
      <selection activeCell="A15" sqref="A15:A25"/>
    </sheetView>
  </sheetViews>
  <sheetFormatPr defaultRowHeight="15" x14ac:dyDescent="0.25"/>
  <cols>
    <col min="1" max="1" width="153.28515625" customWidth="1"/>
  </cols>
  <sheetData>
    <row r="1" spans="1:1" x14ac:dyDescent="0.25">
      <c r="A1" s="1" t="s">
        <v>23</v>
      </c>
    </row>
    <row r="2" spans="1:1" x14ac:dyDescent="0.25">
      <c r="A2" s="4">
        <v>25509</v>
      </c>
    </row>
    <row r="3" spans="1:1" x14ac:dyDescent="0.25">
      <c r="A3" s="2" t="s">
        <v>24</v>
      </c>
    </row>
    <row r="4" spans="1:1" x14ac:dyDescent="0.25">
      <c r="A4" s="1" t="s">
        <v>25</v>
      </c>
    </row>
    <row r="5" spans="1:1" x14ac:dyDescent="0.25">
      <c r="A5" s="1" t="s">
        <v>26</v>
      </c>
    </row>
    <row r="6" spans="1:1" x14ac:dyDescent="0.25">
      <c r="A6" s="1" t="s">
        <v>27</v>
      </c>
    </row>
    <row r="7" spans="1:1" x14ac:dyDescent="0.25">
      <c r="A7" s="1" t="s">
        <v>28</v>
      </c>
    </row>
    <row r="8" spans="1:1" x14ac:dyDescent="0.25">
      <c r="A8" s="1" t="s">
        <v>29</v>
      </c>
    </row>
    <row r="9" spans="1:1" x14ac:dyDescent="0.25">
      <c r="A9" s="1" t="s">
        <v>30</v>
      </c>
    </row>
    <row r="10" spans="1:1" x14ac:dyDescent="0.25">
      <c r="A10" s="1" t="s">
        <v>31</v>
      </c>
    </row>
    <row r="11" spans="1:1" x14ac:dyDescent="0.25">
      <c r="A11" s="1" t="s">
        <v>15</v>
      </c>
    </row>
    <row r="12" spans="1:1" x14ac:dyDescent="0.25">
      <c r="A12" s="1"/>
    </row>
    <row r="13" spans="1:1" ht="8.25" customHeight="1" x14ac:dyDescent="0.25">
      <c r="A13" s="3"/>
    </row>
    <row r="15" spans="1:1" x14ac:dyDescent="0.25">
      <c r="A15" t="str">
        <f>A1</f>
        <v>33.592.510/0001-54</v>
      </c>
    </row>
    <row r="16" spans="1:1" x14ac:dyDescent="0.25">
      <c r="A16" s="4">
        <f>A2</f>
        <v>25509</v>
      </c>
    </row>
    <row r="17" spans="1:1" x14ac:dyDescent="0.25">
      <c r="A17" t="str">
        <f>RIGHT(A3,LEN(A3)-21)</f>
        <v xml:space="preserve">VALE S.A.  </v>
      </c>
    </row>
    <row r="18" spans="1:1" x14ac:dyDescent="0.25">
      <c r="A18" t="str">
        <f>RIGHT(A4,LEN(A4)-57)</f>
        <v xml:space="preserve">07.10-3-01 - Extração de minério de ferro   </v>
      </c>
    </row>
    <row r="19" spans="1:1" x14ac:dyDescent="0.25">
      <c r="A19" t="str">
        <f>RIGHT(A5,LEN(A5)-16)</f>
        <v xml:space="preserve">AV GRACA ARANHA  </v>
      </c>
    </row>
    <row r="20" spans="1:1" x14ac:dyDescent="0.25">
      <c r="A20" t="str">
        <f>RIGHT(A6,LEN(A6)-11)</f>
        <v xml:space="preserve">26  </v>
      </c>
    </row>
    <row r="21" spans="1:1" x14ac:dyDescent="0.25">
      <c r="A21" t="str">
        <f>RIGHT(A7,LEN(A7)-16)</f>
        <v xml:space="preserve">ED BARAO DE MAUA   </v>
      </c>
    </row>
    <row r="22" spans="1:1" x14ac:dyDescent="0.25">
      <c r="A22" t="str">
        <f>RIGHT(A8,13)</f>
        <v xml:space="preserve">20.030-001   </v>
      </c>
    </row>
    <row r="23" spans="1:1" x14ac:dyDescent="0.25">
      <c r="A23" t="str">
        <f>RIGHT(A9,LEN(A9)-20)</f>
        <v xml:space="preserve">CENTRO  </v>
      </c>
    </row>
    <row r="24" spans="1:1" x14ac:dyDescent="0.25">
      <c r="A24" t="str">
        <f>RIGHT(A10,LEN(A10)-14)</f>
        <v xml:space="preserve">RIO DE JANEIRO  </v>
      </c>
    </row>
    <row r="25" spans="1:1" x14ac:dyDescent="0.25">
      <c r="A25" t="str">
        <f>A11</f>
        <v xml:space="preserve">RJ  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Cadastro</vt:lpstr>
      <vt:lpstr>Importação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AES</dc:creator>
  <cp:lastModifiedBy>LogivaVBA</cp:lastModifiedBy>
  <dcterms:created xsi:type="dcterms:W3CDTF">2014-08-11T19:24:31Z</dcterms:created>
  <dcterms:modified xsi:type="dcterms:W3CDTF">2016-08-04T12:43:14Z</dcterms:modified>
</cp:coreProperties>
</file>